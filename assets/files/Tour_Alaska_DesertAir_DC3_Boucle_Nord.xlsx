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919ef10ff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ucle Nord" sheetId="1" r:id="R84fc63a2fbe746d1"/>
    <x:sheet xmlns:r="http://schemas.openxmlformats.org/officeDocument/2006/relationships" name="Plan carburant" sheetId="2" r:id="Rcbb7d01039ec4bee"/>
    <x:sheet xmlns:r="http://schemas.openxmlformats.org/officeDocument/2006/relationships" name="Aérodromes" sheetId="3" r:id="Rb7198ba8f15e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0a5fc6c9684beb" /><Relationship Type="http://schemas.openxmlformats.org/officeDocument/2006/relationships/theme" Target="/xl/theme/theme1.xml" Id="R2010daa773144e2d" /><Relationship Type="http://schemas.openxmlformats.org/officeDocument/2006/relationships/sharedStrings" Target="/xl/sharedStrings.xml" Id="R241064dc63a54279" /><Relationship Type="http://schemas.openxmlformats.org/officeDocument/2006/relationships/worksheet" Target="/xl/worksheets/sheet1.xml" Id="R84fc63a2fbe746d1" /><Relationship Type="http://schemas.openxmlformats.org/officeDocument/2006/relationships/worksheet" Target="/xl/worksheets/sheet2.xml" Id="Rcbb7d01039ec4bee" /><Relationship Type="http://schemas.openxmlformats.org/officeDocument/2006/relationships/worksheet" Target="/xl/worksheets/sheet3.xml" Id="Rb7198ba8f15e41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29" hidden="0" customWidth="1"/>
    <x:col min="4" max="4" width="9" hidden="0" customWidth="1"/>
    <x:col min="5" max="5" width="10" hidden="0" customWidth="1"/>
    <x:col min="6" max="6" width="38" hidden="0" customWidth="1"/>
    <x:col min="7" max="7" width="38" hidden="0" customWidth="1"/>
    <x:col min="8" max="8" width="22" hidden="0" customWidth="1"/>
    <x:col min="9" max="9" width="30" hidden="0" customWidth="1"/>
    <x:col min="10" max="10" width="40" hidden="0" customWidth="1"/>
    <x:col min="11" max="11" width="12" hidden="0" customWidth="1"/>
  </x:cols>
  <x:sheetData>
    <x:row r="1" ht="30" customHeight="1">
      <x:c r="A1" s="3" t="str">
        <x:v>Grand tour de l’Alaska Desert Air — DC-3 — boucle Nord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t="str">
        <x:v>20 étapes • aucune branche répétée • jusqu’à Utqiaġvik • maximum 200 NM par étape</x:v>
      </x:c>
    </x:row>
    <x:row r="4">
      <x:c r="A4" s="7" t="str">
        <x:v>Étape</x:v>
      </x:c>
      <x:c r="B4" s="7" t="str">
        <x:v>Départ</x:v>
      </x:c>
      <x:c r="C4" s="7" t="str">
        <x:v>Destination</x:v>
      </x:c>
      <x:c r="D4" s="7" t="str">
        <x:v>NM</x:v>
      </x:c>
      <x:c r="E4" s="7" t="str">
        <x:v>Cumul</x:v>
      </x:c>
      <x:c r="F4" s="7" t="str">
        <x:v>Piste départ</x:v>
      </x:c>
      <x:c r="G4" s="7" t="str">
        <x:v>Piste arrivée</x:v>
      </x:c>
      <x:c r="H4" s="7" t="str">
        <x:v>Carburant arrivée</x:v>
      </x:c>
      <x:c r="I4" s="7" t="str">
        <x:v>Consigne carburant</x:v>
      </x:c>
      <x:c r="J4" s="7" t="str">
        <x:v>Difficulté</x:v>
      </x:c>
      <x:c r="K4" s="7" t="str">
        <x:v>Contrôle</x:v>
      </x:c>
    </x:row>
    <x:row r="5">
      <x:c r="A5" s="12" t="n">
        <x:v>1</x:v>
      </x:c>
      <x:c r="B5" s="12" t="str">
        <x:v>PAAQ — Palmer Municipal</x:v>
      </x:c>
      <x:c r="C5" s="12" t="str">
        <x:v>PAST — Summit</x:v>
      </x:c>
      <x:c r="D5" s="12" t="n">
        <x:v>104</x:v>
      </x:c>
      <x:c r="E5" s="12" t="n">
        <x:f>D5</x:f>
        <x:v>104</x:v>
      </x:c>
      <x:c r="F5" s="12" t="str">
        <x:v>16/34 – 6 006 ft asphalt; 10/28 – 3 616 ft asphalt</x:v>
      </x:c>
      <x:c r="G5" s="12" t="str">
        <x:v>03/21 – 3 814 ft gravier</x:v>
      </x:c>
      <x:c r="H5" s="12" t="str">
        <x:v>Non publié</x:v>
      </x:c>
      <x:c r="I5" s="12" t="str">
        <x:v>Pas de ravitaillement prévu</x:v>
      </x:c>
      <x:c r="J5" s="12" t="str">
        <x:v>Col montagneux, piste sans surveillance, vents traversiers</x:v>
      </x:c>
      <x:c r="K5" s="18" t="str">
        <x:v>OK</x:v>
      </x:c>
    </x:row>
    <x:row r="6">
      <x:c r="A6" s="12" t="n">
        <x:v>2</x:v>
      </x:c>
      <x:c r="B6" s="12" t="str">
        <x:v>PAST — Summit</x:v>
      </x:c>
      <x:c r="C6" s="12" t="str">
        <x:v>PANN — Nenana Municipal</x:v>
      </x:c>
      <x:c r="D6" s="12" t="n">
        <x:v>73</x:v>
      </x:c>
      <x:c r="E6" s="12" t="n">
        <x:f>E5+D6</x:f>
        <x:v>177</x:v>
      </x:c>
      <x:c r="F6" s="12" t="str">
        <x:v>03/21 – 3 814 ft gravier</x:v>
      </x:c>
      <x:c r="G6" s="12" t="str">
        <x:v>04L/22R – 4 600 ft asphalt; 04R/22L – 1 980 ft gazon</x:v>
      </x:c>
      <x:c r="H6" s="12" t="str">
        <x:v>100LL H24</x:v>
      </x:c>
      <x:c r="I6" s="12" t="str">
        <x:v>Ravitaillement conseillé</x:v>
      </x:c>
      <x:c r="J6" s="12" t="str">
        <x:v>Gel et entretien hivernal limité</x:v>
      </x:c>
      <x:c r="K6" s="18" t="str">
        <x:v>OK</x:v>
      </x:c>
    </x:row>
    <x:row r="7">
      <x:c r="A7" s="12" t="n">
        <x:v>3</x:v>
      </x:c>
      <x:c r="B7" s="12" t="str">
        <x:v>PANN — Nenana Municipal</x:v>
      </x:c>
      <x:c r="C7" s="12" t="str">
        <x:v>PAFA — Fairbanks International</x:v>
      </x:c>
      <x:c r="D7" s="12" t="n">
        <x:v>35</x:v>
      </x:c>
      <x:c r="E7" s="12" t="n">
        <x:f>E6+D7</x:f>
        <x:v>212</x:v>
      </x:c>
      <x:c r="F7" s="12" t="str">
        <x:v>04L/22R – 4 600 ft asphalt; 04R/22L – 1 980 ft gazon</x:v>
      </x:c>
      <x:c r="G7" s="12" t="str">
        <x:v>02L/20R – 11 800 ft asphalt; 02R/20L – 4 510 ft asphalt</x:v>
      </x:c>
      <x:c r="H7" s="12" t="str">
        <x:v>100LL</x:v>
      </x:c>
      <x:c r="I7" s="12" t="str">
        <x:v>Ravitaillement conseillé</x:v>
      </x:c>
      <x:c r="J7" s="12" t="str">
        <x:v>Froid extrême et brouillard de glace</x:v>
      </x:c>
      <x:c r="K7" s="18" t="str">
        <x:v>OK</x:v>
      </x:c>
    </x:row>
    <x:row r="8">
      <x:c r="A8" s="12" t="n">
        <x:v>4</x:v>
      </x:c>
      <x:c r="B8" s="12" t="str">
        <x:v>PAFA — Fairbanks International</x:v>
      </x:c>
      <x:c r="C8" s="12" t="str">
        <x:v>PABT — Bettles</x:v>
      </x:c>
      <x:c r="D8" s="12" t="n">
        <x:v>155</x:v>
      </x:c>
      <x:c r="E8" s="12" t="n">
        <x:f>E7+D8</x:f>
        <x:v>367</x:v>
      </x:c>
      <x:c r="F8" s="12" t="str">
        <x:v>02L/20R – 11 800 ft asphalt; 02R/20L – 4 510 ft asphalt</x:v>
      </x:c>
      <x:c r="G8" s="12" t="str">
        <x:v>02/20 – 5 190 ft gravier</x:v>
      </x:c>
      <x:c r="H8" s="12" t="str">
        <x:v>100LL</x:v>
      </x:c>
      <x:c r="I8" s="12" t="str">
        <x:v>Ravitaillement conseillé</x:v>
      </x:c>
      <x:c r="J8" s="12" t="str">
        <x:v>Terrain isolé; inspection visuelle recommandée</x:v>
      </x:c>
      <x:c r="K8" s="18" t="str">
        <x:v>OK</x:v>
      </x:c>
    </x:row>
    <x:row r="9">
      <x:c r="A9" s="12" t="n">
        <x:v>5</x:v>
      </x:c>
      <x:c r="B9" s="12" t="str">
        <x:v>PABT — Bettles</x:v>
      </x:c>
      <x:c r="C9" s="12" t="str">
        <x:v>PACX — Coldfoot</x:v>
      </x:c>
      <x:c r="D9" s="12" t="n">
        <x:v>37</x:v>
      </x:c>
      <x:c r="E9" s="12" t="n">
        <x:f>E8+D9</x:f>
        <x:v>404</x:v>
      </x:c>
      <x:c r="F9" s="12" t="str">
        <x:v>02/20 – 5 190 ft gravier</x:v>
      </x:c>
      <x:c r="G9" s="12" t="str">
        <x:v>02/20 – 4 011 ft gravier</x:v>
      </x:c>
      <x:c r="H9" s="12" t="str">
        <x:v>Non publié</x:v>
      </x:c>
      <x:c r="I9" s="12" t="str">
        <x:v>Pas de ravitaillement prévu</x:v>
      </x:c>
      <x:c r="J9" s="12" t="str">
        <x:v>Piste non surveillée dans la vallée de la Koyukuk</x:v>
      </x:c>
      <x:c r="K9" s="18" t="str">
        <x:v>OK</x:v>
      </x:c>
    </x:row>
    <x:row r="10">
      <x:c r="A10" s="12" t="n">
        <x:v>6</x:v>
      </x:c>
      <x:c r="B10" s="12" t="str">
        <x:v>PACX — Coldfoot</x:v>
      </x:c>
      <x:c r="C10" s="12" t="str">
        <x:v>PAKP — Anaktuvuk Pass</x:v>
      </x:c>
      <x:c r="D10" s="12" t="n">
        <x:v>63</x:v>
      </x:c>
      <x:c r="E10" s="12" t="n">
        <x:f>E9+D10</x:f>
        <x:v>467</x:v>
      </x:c>
      <x:c r="F10" s="12" t="str">
        <x:v>02/20 – 4 011 ft gravier</x:v>
      </x:c>
      <x:c r="G10" s="12" t="str">
        <x:v>02/20 – 4 800 ft gravier</x:v>
      </x:c>
      <x:c r="H10" s="12" t="str">
        <x:v>Non publié</x:v>
      </x:c>
      <x:c r="I10" s="12" t="str">
        <x:v>Pas de ravitaillement prévu</x:v>
      </x:c>
      <x:c r="J10" s="12" t="str">
        <x:v>Col encaissé de la Brooks Range; turbulence et plafond bas</x:v>
      </x:c>
      <x:c r="K10" s="18" t="str">
        <x:v>OK</x:v>
      </x:c>
    </x:row>
    <x:row r="11">
      <x:c r="A11" s="12" t="n">
        <x:v>7</x:v>
      </x:c>
      <x:c r="B11" s="12" t="str">
        <x:v>PAKP — Anaktuvuk Pass</x:v>
      </x:c>
      <x:c r="C11" s="12" t="str">
        <x:v>PAUM — Umiat</x:v>
      </x:c>
      <x:c r="D11" s="12" t="n">
        <x:v>75</x:v>
      </x:c>
      <x:c r="E11" s="12" t="n">
        <x:f>E10+D11</x:f>
        <x:v>542</x:v>
      </x:c>
      <x:c r="F11" s="12" t="str">
        <x:v>02/20 – 4 800 ft gravier</x:v>
      </x:c>
      <x:c r="G11" s="12" t="str">
        <x:v>06/24 – 5 583 ft gravier/terre</x:v>
      </x:c>
      <x:c r="H11" s="12" t="str">
        <x:v>Non publié</x:v>
      </x:c>
      <x:c r="I11" s="12" t="str">
        <x:v>Pas de ravitaillement prévu</x:v>
      </x:c>
      <x:c r="J11" s="12" t="str">
        <x:v>Ornières, végétation, animaux et crêtes au nord et au sud</x:v>
      </x:c>
      <x:c r="K11" s="18" t="str">
        <x:v>OK</x:v>
      </x:c>
    </x:row>
    <x:row r="12">
      <x:c r="A12" s="12" t="n">
        <x:v>8</x:v>
      </x:c>
      <x:c r="B12" s="12" t="str">
        <x:v>PAUM — Umiat</x:v>
      </x:c>
      <x:c r="C12" s="12" t="str">
        <x:v>PASC — Deadhorse</x:v>
      </x:c>
      <x:c r="D12" s="12" t="n">
        <x:v>91</x:v>
      </x:c>
      <x:c r="E12" s="12" t="n">
        <x:f>E11+D12</x:f>
        <x:v>633</x:v>
      </x:c>
      <x:c r="F12" s="12" t="str">
        <x:v>06/24 – 5 583 ft gravier/terre</x:v>
      </x:c>
      <x:c r="G12" s="12" t="str">
        <x:v>06/24 – 6 500 ft asphalt</x:v>
      </x:c>
      <x:c r="H12" s="12" t="str">
        <x:v>Avgas 100</x:v>
      </x:c>
      <x:c r="I12" s="12" t="str">
        <x:v>Ravitaillement complet impératif</x:v>
      </x:c>
      <x:c r="J12" s="12" t="str">
        <x:v>Vent arctique, neige, caribous et horaires carburant</x:v>
      </x:c>
      <x:c r="K12" s="18" t="str">
        <x:v>OK</x:v>
      </x:c>
    </x:row>
    <x:row r="13">
      <x:c r="A13" s="12" t="n">
        <x:v>9</x:v>
      </x:c>
      <x:c r="B13" s="12" t="str">
        <x:v>PASC — Deadhorse</x:v>
      </x:c>
      <x:c r="C13" s="12" t="str">
        <x:v>PABR — Utqiaġvik — Wiley Post/Will Rogers</x:v>
      </x:c>
      <x:c r="D13" s="12" t="n">
        <x:v>177</x:v>
      </x:c>
      <x:c r="E13" s="12" t="n">
        <x:f>E12+D13</x:f>
        <x:v>810</x:v>
      </x:c>
      <x:c r="F13" s="12" t="str">
        <x:v>06/24 – 6 500 ft asphalt</x:v>
      </x:c>
      <x:c r="G13" s="12" t="str">
        <x:v>08/26 – 7 100 ft asphalt</x:v>
      </x:c>
      <x:c r="H13" s="12" t="str">
        <x:v>100LL</x:v>
      </x:c>
      <x:c r="I13" s="12" t="str">
        <x:v>Ravitaillement conseillé</x:v>
      </x:c>
      <x:c r="J13" s="12" t="str">
        <x:v>Point le plus septentrional; météo polaire et brouillard</x:v>
      </x:c>
      <x:c r="K13" s="18" t="str">
        <x:v>OK</x:v>
      </x:c>
    </x:row>
    <x:row r="14">
      <x:c r="A14" s="12" t="n">
        <x:v>10</x:v>
      </x:c>
      <x:c r="B14" s="12" t="str">
        <x:v>PABR — Utqiaġvik — Wiley Post/Will Rogers</x:v>
      </x:c>
      <x:c r="C14" s="12" t="str">
        <x:v>PPIZ — Point Lay LRRS</x:v>
      </x:c>
      <x:c r="D14" s="12" t="n">
        <x:v>156</x:v>
      </x:c>
      <x:c r="E14" s="12" t="n">
        <x:f>E13+D14</x:f>
        <x:v>966</x:v>
      </x:c>
      <x:c r="F14" s="12" t="str">
        <x:v>08/26 – 7 100 ft asphalt</x:v>
      </x:c>
      <x:c r="G14" s="12" t="str">
        <x:v>06/24 – 4 500 ft gravier</x:v>
      </x:c>
      <x:c r="H14" s="12" t="str">
        <x:v>Non publié</x:v>
      </x:c>
      <x:c r="I14" s="12" t="str">
        <x:v>Pas de ravitaillement prévu</x:v>
      </x:c>
      <x:c r="J14" s="12" t="str">
        <x:v>Terrain froid isolé, route près du seuil</x:v>
      </x:c>
      <x:c r="K14" s="18" t="str">
        <x:v>OK</x:v>
      </x:c>
    </x:row>
    <x:row r="15">
      <x:c r="A15" s="12" t="n">
        <x:v>11</x:v>
      </x:c>
      <x:c r="B15" s="12" t="str">
        <x:v>PPIZ — Point Lay LRRS</x:v>
      </x:c>
      <x:c r="C15" s="12" t="str">
        <x:v>PAPO — Point Hope</x:v>
      </x:c>
      <x:c r="D15" s="12" t="n">
        <x:v>116</x:v>
      </x:c>
      <x:c r="E15" s="12" t="n">
        <x:f>E14+D15</x:f>
        <x:v>1082</x:v>
      </x:c>
      <x:c r="F15" s="12" t="str">
        <x:v>06/24 – 4 500 ft gravier</x:v>
      </x:c>
      <x:c r="G15" s="12" t="str">
        <x:v>03/21 – 4 000 ft asphalt</x:v>
      </x:c>
      <x:c r="H15" s="12" t="str">
        <x:v>Urgence seulement</x:v>
      </x:c>
      <x:c r="I15" s="12" t="str">
        <x:v>Pas de ravitaillement prévu</x:v>
      </x:c>
      <x:c r="J15" s="12" t="str">
        <x:v>Vent côtier; fissures transversales sur la piste</x:v>
      </x:c>
      <x:c r="K15" s="18" t="str">
        <x:v>OK</x:v>
      </x:c>
    </x:row>
    <x:row r="16">
      <x:c r="A16" s="12" t="n">
        <x:v>12</x:v>
      </x:c>
      <x:c r="B16" s="12" t="str">
        <x:v>PAPO — Point Hope</x:v>
      </x:c>
      <x:c r="C16" s="12" t="str">
        <x:v>PAOT — Kotzebue — Ralph Wien Memorial</x:v>
      </x:c>
      <x:c r="D16" s="12" t="n">
        <x:v>130</x:v>
      </x:c>
      <x:c r="E16" s="12" t="n">
        <x:f>E15+D16</x:f>
        <x:v>1212</x:v>
      </x:c>
      <x:c r="F16" s="12" t="str">
        <x:v>03/21 – 4 000 ft asphalt</x:v>
      </x:c>
      <x:c r="G16" s="12" t="str">
        <x:v>09/27 – 6 300 ft asphalt; 18/36 – 3 876 ft gravier</x:v>
      </x:c>
      <x:c r="H16" s="12" t="str">
        <x:v>Avgas 100</x:v>
      </x:c>
      <x:c r="I16" s="12" t="str">
        <x:v>Ravitaillement complet impératif</x:v>
      </x:c>
      <x:c r="J16" s="12" t="str">
        <x:v>Au-delà du cercle arctique; surfaces irrégulières</x:v>
      </x:c>
      <x:c r="K16" s="18" t="str">
        <x:v>OK</x:v>
      </x:c>
    </x:row>
    <x:row r="17">
      <x:c r="A17" s="12" t="n">
        <x:v>13</x:v>
      </x:c>
      <x:c r="B17" s="12" t="str">
        <x:v>PAOT — Kotzebue — Ralph Wien Memorial</x:v>
      </x:c>
      <x:c r="C17" s="12" t="str">
        <x:v>PAOM — Nome</x:v>
      </x:c>
      <x:c r="D17" s="12" t="n">
        <x:v>159</x:v>
      </x:c>
      <x:c r="E17" s="12" t="n">
        <x:f>E16+D17</x:f>
        <x:v>1371</x:v>
      </x:c>
      <x:c r="F17" s="12" t="str">
        <x:v>09/27 – 6 300 ft asphalt; 18/36 – 3 876 ft gravier</x:v>
      </x:c>
      <x:c r="G17" s="12" t="str">
        <x:v>03/21 – 6 176 ft asphalt; 10/28 – 6 009 ft asphalt</x:v>
      </x:c>
      <x:c r="H17" s="12" t="str">
        <x:v>100LL</x:v>
      </x:c>
      <x:c r="I17" s="12" t="str">
        <x:v>Ravitaillement conseillé</x:v>
      </x:c>
      <x:c r="J17" s="12" t="str">
        <x:v>Vent, neige et visibilité rapidement changeante</x:v>
      </x:c>
      <x:c r="K17" s="18" t="str">
        <x:v>OK</x:v>
      </x:c>
    </x:row>
    <x:row r="18">
      <x:c r="A18" s="12" t="n">
        <x:v>14</x:v>
      </x:c>
      <x:c r="B18" s="12" t="str">
        <x:v>PAOM — Nome</x:v>
      </x:c>
      <x:c r="C18" s="12" t="str">
        <x:v>PAUN — Unalakleet</x:v>
      </x:c>
      <x:c r="D18" s="12" t="n">
        <x:v>127</x:v>
      </x:c>
      <x:c r="E18" s="12" t="n">
        <x:f>E17+D18</x:f>
        <x:v>1498</x:v>
      </x:c>
      <x:c r="F18" s="12" t="str">
        <x:v>03/21 – 6 176 ft asphalt; 10/28 – 6 009 ft asphalt</x:v>
      </x:c>
      <x:c r="G18" s="12" t="str">
        <x:v>15/33 – 5 900 ft asphalt; 09/27 – 1 900 ft asphalt</x:v>
      </x:c>
      <x:c r="H18" s="12" t="str">
        <x:v>100LL</x:v>
      </x:c>
      <x:c r="I18" s="12" t="str">
        <x:v>Ravitaillement conseillé</x:v>
      </x:c>
      <x:c r="J18" s="12" t="str">
        <x:v>Vent et givrage de la mer de Béring</x:v>
      </x:c>
      <x:c r="K18" s="18" t="str">
        <x:v>OK</x:v>
      </x:c>
    </x:row>
    <x:row r="19">
      <x:c r="A19" s="12" t="n">
        <x:v>15</x:v>
      </x:c>
      <x:c r="B19" s="12" t="str">
        <x:v>PAUN — Unalakleet</x:v>
      </x:c>
      <x:c r="C19" s="12" t="str">
        <x:v>PABE — Bethel</x:v>
      </x:c>
      <x:c r="D19" s="12" t="n">
        <x:v>189</x:v>
      </x:c>
      <x:c r="E19" s="12" t="n">
        <x:f>E18+D19</x:f>
        <x:v>1687</x:v>
      </x:c>
      <x:c r="F19" s="12" t="str">
        <x:v>15/33 – 5 900 ft asphalt; 09/27 – 1 900 ft asphalt</x:v>
      </x:c>
      <x:c r="G19" s="12" t="str">
        <x:v>01L/19R – 6 400 ft asphalt; 01R/19L – 4 000 ft asphalt</x:v>
      </x:c>
      <x:c r="H19" s="12" t="str">
        <x:v>100/100LL</x:v>
      </x:c>
      <x:c r="I19" s="12" t="str">
        <x:v>Ravitaillement conseillé</x:v>
      </x:c>
      <x:c r="J19" s="12" t="str">
        <x:v>Brouillard côtier, vent et oiseaux</x:v>
      </x:c>
      <x:c r="K19" s="18" t="str">
        <x:v>OK</x:v>
      </x:c>
    </x:row>
    <x:row r="20">
      <x:c r="A20" s="12" t="n">
        <x:v>16</x:v>
      </x:c>
      <x:c r="B20" s="12" t="str">
        <x:v>PABE — Bethel</x:v>
      </x:c>
      <x:c r="C20" s="12" t="str">
        <x:v>PADL — Dillingham</x:v>
      </x:c>
      <x:c r="D20" s="12" t="n">
        <x:v>145</x:v>
      </x:c>
      <x:c r="E20" s="12" t="n">
        <x:f>E19+D20</x:f>
        <x:v>1832</x:v>
      </x:c>
      <x:c r="F20" s="12" t="str">
        <x:v>01L/19R – 6 400 ft asphalt; 01R/19L – 4 000 ft asphalt</x:v>
      </x:c>
      <x:c r="G20" s="12" t="str">
        <x:v>01/19 – 6 400 ft asphalt</x:v>
      </x:c>
      <x:c r="H20" s="12" t="str">
        <x:v>100LL</x:v>
      </x:c>
      <x:c r="I20" s="12" t="str">
        <x:v>Ravitaillement conseillé</x:v>
      </x:c>
      <x:c r="J20" s="12" t="str">
        <x:v>Météo de la baie de Bristol</x:v>
      </x:c>
      <x:c r="K20" s="18" t="str">
        <x:v>OK</x:v>
      </x:c>
    </x:row>
    <x:row r="21">
      <x:c r="A21" s="12" t="n">
        <x:v>17</x:v>
      </x:c>
      <x:c r="B21" s="12" t="str">
        <x:v>PADL — Dillingham</x:v>
      </x:c>
      <x:c r="C21" s="12" t="str">
        <x:v>PAKN — King Salmon</x:v>
      </x:c>
      <x:c r="D21" s="12" t="n">
        <x:v>62</x:v>
      </x:c>
      <x:c r="E21" s="12" t="n">
        <x:f>E20+D21</x:f>
        <x:v>1894</x:v>
      </x:c>
      <x:c r="F21" s="12" t="str">
        <x:v>01/19 – 6 400 ft asphalt</x:v>
      </x:c>
      <x:c r="G21" s="12" t="str">
        <x:v>12/30 – 8 900 ft asphalt; 18/36 – 4 017 ft asphalt</x:v>
      </x:c>
      <x:c r="H21" s="12" t="str">
        <x:v>100LL</x:v>
      </x:c>
      <x:c r="I21" s="12" t="str">
        <x:v>Ravitaillement conseillé</x:v>
      </x:c>
      <x:c r="J21" s="12" t="str">
        <x:v>Vents de travers et grands oiseaux</x:v>
      </x:c>
      <x:c r="K21" s="18" t="str">
        <x:v>OK</x:v>
      </x:c>
    </x:row>
    <x:row r="22">
      <x:c r="A22" s="12" t="n">
        <x:v>18</x:v>
      </x:c>
      <x:c r="B22" s="12" t="str">
        <x:v>PAKN — King Salmon</x:v>
      </x:c>
      <x:c r="C22" s="12" t="str">
        <x:v>PADQ — Kodiak</x:v>
      </x:c>
      <x:c r="D22" s="12" t="n">
        <x:v>143</x:v>
      </x:c>
      <x:c r="E22" s="12" t="n">
        <x:f>E21+D22</x:f>
        <x:v>2037</x:v>
      </x:c>
      <x:c r="F22" s="12" t="str">
        <x:v>12/30 – 8 900 ft asphalt; 18/36 – 4 017 ft asphalt</x:v>
      </x:c>
      <x:c r="G22" s="12" t="str">
        <x:v>08/26 – 7 534 ft; 11/29 – 5 400 ft; 01/19 – 5 010 ft asphalt</x:v>
      </x:c>
      <x:c r="H22" s="12" t="str">
        <x:v>100LL</x:v>
      </x:c>
      <x:c r="I22" s="12" t="str">
        <x:v>Ravitaillement conseillé</x:v>
      </x:c>
      <x:c r="J22" s="12" t="str">
        <x:v>Relief montagneux serré, plafond bas et vents</x:v>
      </x:c>
      <x:c r="K22" s="18" t="str">
        <x:v>OK</x:v>
      </x:c>
    </x:row>
    <x:row r="23">
      <x:c r="A23" s="12" t="n">
        <x:v>19</x:v>
      </x:c>
      <x:c r="B23" s="12" t="str">
        <x:v>PADQ — Kodiak</x:v>
      </x:c>
      <x:c r="C23" s="12" t="str">
        <x:v>PAHO — Homer</x:v>
      </x:c>
      <x:c r="D23" s="12" t="n">
        <x:v>118</x:v>
      </x:c>
      <x:c r="E23" s="12" t="n">
        <x:f>E22+D23</x:f>
        <x:v>2155</x:v>
      </x:c>
      <x:c r="F23" s="12" t="str">
        <x:v>08/26 – 7 534 ft; 11/29 – 5 400 ft; 01/19 – 5 010 ft asphalt</x:v>
      </x:c>
      <x:c r="G23" s="12" t="str">
        <x:v>04/22 – 6 701 ft asphalt</x:v>
      </x:c>
      <x:c r="H23" s="12" t="str">
        <x:v>100LL</x:v>
      </x:c>
      <x:c r="I23" s="12" t="str">
        <x:v>Ravitaillement conseillé</x:v>
      </x:c>
      <x:c r="J23" s="12" t="str">
        <x:v>Cook Inlet, relief et oiseaux</x:v>
      </x:c>
      <x:c r="K23" s="18" t="str">
        <x:v>OK</x:v>
      </x:c>
    </x:row>
    <x:row r="24">
      <x:c r="A24" s="13" t="n">
        <x:v>20</x:v>
      </x:c>
      <x:c r="B24" s="13" t="str">
        <x:v>PAHO — Homer</x:v>
      </x:c>
      <x:c r="C24" s="13" t="str">
        <x:v>PAAQ — Palmer Municipal</x:v>
      </x:c>
      <x:c r="D24" s="13" t="n">
        <x:v>137</x:v>
      </x:c>
      <x:c r="E24" s="13" t="n">
        <x:f>E23+D24</x:f>
        <x:v>2292</x:v>
      </x:c>
      <x:c r="F24" s="13" t="str">
        <x:v>04/22 – 6 701 ft asphalt</x:v>
      </x:c>
      <x:c r="G24" s="13" t="str">
        <x:v>16/34 – 6 006 ft asphalt; 10/28 – 3 616 ft asphalt</x:v>
      </x:c>
      <x:c r="H24" s="13" t="str">
        <x:v>100LL H24</x:v>
      </x:c>
      <x:c r="I24" s="13" t="str">
        <x:v>Ravitaillement conseillé</x:v>
      </x:c>
      <x:c r="J24" s="13" t="str">
        <x:v>Hub Desert Air choisi</x:v>
      </x:c>
      <x:c r="K24" s="19" t="str">
        <x:v>OK</x:v>
      </x:c>
    </x:row>
    <x:row r="26">
      <x:c r="A26" s="21" t="str">
        <x:v>Distance totale</x:v>
      </x:c>
      <x:c r="B26" s="21"/>
      <x:c r="C26" s="21"/>
      <x:c r="D26" s="21" t="n">
        <x:f>SUM(D5:D24)</x:f>
        <x:v>2292</x:v>
      </x:c>
      <x:c r="E26" s="21"/>
      <x:c r="F26" s="21" t="str">
        <x:v>Boucle continue sans retour sur la même branche</x:v>
      </x:c>
      <x:c r="G26" s="21"/>
      <x:c r="H26" s="21"/>
      <x:c r="I26" s="21"/>
      <x:c r="J26" s="21"/>
      <x:c r="K26" s="21" t="str">
        <x:f>IF(MAX(D5:D24)&lt;=200,"VALIDÉE","À REVOIR")</x:f>
        <x:v>VALIDÉE</x:v>
      </x:c>
    </x:row>
  </x:sheetData>
  <x:mergeCells>
    <x:mergeCell ref="A1:K1"/>
    <x:mergeCell ref="A2:K2"/>
    <x:mergeCell ref="A26:C26"/>
    <x:mergeCell ref="F26:J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30" hidden="0" customWidth="1"/>
    <x:col min="4" max="4" width="20" hidden="0" customWidth="1"/>
    <x:col min="5" max="5" width="13" hidden="0" customWidth="1"/>
    <x:col min="6" max="6" width="42" hidden="0" customWidth="1"/>
    <x:col min="7" max="7" width="38" hidden="0" customWidth="1"/>
  </x:cols>
  <x:sheetData>
    <x:row r="1" ht="30" customHeight="1">
      <x:c r="A1" s="3" t="str">
        <x:v>Plan carburant et réserve d’expédition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6" t="str">
        <x:v>Secteur</x:v>
      </x:c>
      <x:c r="B3" s="6" t="str">
        <x:v>Départ plein</x:v>
      </x:c>
      <x:c r="C3" s="6" t="str">
        <x:v>Escales sans Avgas garanti</x:v>
      </x:c>
      <x:c r="D3" s="6" t="str">
        <x:v>Arrivée carburant</x:v>
      </x:c>
      <x:c r="E3" s="6" t="str">
        <x:v>Distance NM</x:v>
      </x:c>
      <x:c r="F3" s="6" t="str">
        <x:v>Décision</x:v>
      </x:c>
      <x:c r="G3" s="6" t="str">
        <x:v>Charge cargo indicative</x:v>
      </x:c>
    </x:row>
    <x:row r="4">
      <x:c r="A4" s="12" t="str">
        <x:v>Palmer → Nenana</x:v>
      </x:c>
      <x:c r="B4" s="12" t="str">
        <x:v>PAAQ</x:v>
      </x:c>
      <x:c r="C4" s="12" t="str">
        <x:v>PAST</x:v>
      </x:c>
      <x:c r="D4" s="12" t="str">
        <x:v>PANN</x:v>
      </x:c>
      <x:c r="E4" s="12" t="n">
        <x:v>177</x:v>
      </x:c>
      <x:c r="F4" s="12" t="str">
        <x:v>Réservoirs principaux suffisants</x:v>
      </x:c>
      <x:c r="G4" s="12" t="str">
        <x:v>Aucun fût nécessaire</x:v>
      </x:c>
    </x:row>
    <x:row r="5">
      <x:c r="A5" s="12" t="str">
        <x:v>Bettles → Deadhorse</x:v>
      </x:c>
      <x:c r="B5" s="12" t="str">
        <x:v>PABT</x:v>
      </x:c>
      <x:c r="C5" s="12" t="str">
        <x:v>PACX, PAKP, PAUM</x:v>
      </x:c>
      <x:c r="D5" s="12" t="str">
        <x:v>PASC</x:v>
      </x:c>
      <x:c r="E5" s="12" t="n">
        <x:v>266</x:v>
      </x:c>
      <x:c r="F5" s="12" t="str">
        <x:v>Réservoirs principaux suffisants; plein impératif à Bettles</x:v>
      </x:c>
      <x:c r="G5" s="12" t="str">
        <x:v>2 × 55 US gal facultatifs ≈ 740 lb avec fûts</x:v>
      </x:c>
    </x:row>
    <x:row r="6">
      <x:c r="A6" s="12" t="str">
        <x:v>Utqiaġvik → Kotzebue</x:v>
      </x:c>
      <x:c r="B6" s="12" t="str">
        <x:v>PABR</x:v>
      </x:c>
      <x:c r="C6" s="12" t="str">
        <x:v>PPIZ, PAPO</x:v>
      </x:c>
      <x:c r="D6" s="12" t="str">
        <x:v>PAOT</x:v>
      </x:c>
      <x:c r="E6" s="12" t="n">
        <x:v>402</x:v>
      </x:c>
      <x:c r="F6" s="12" t="str">
        <x:v>Réservoirs principaux suffisants; plein impératif à Utqiaġvik</x:v>
      </x:c>
      <x:c r="G6" s="12" t="str">
        <x:v>2 × 55 US gal facultatifs ≈ 740 lb avec fûts</x:v>
      </x:c>
    </x:row>
    <x:row r="7">
      <x:c r="A7" s="13" t="str">
        <x:v>Kotzebue → Palmer</x:v>
      </x:c>
      <x:c r="B7" s="13" t="str">
        <x:v>PAOT</x:v>
      </x:c>
      <x:c r="C7" s="13" t="str">
        <x:v>Aucune rupture critique</x:v>
      </x:c>
      <x:c r="D7" s="13" t="str">
        <x:v>PAAQ</x:v>
      </x:c>
      <x:c r="E7" s="13" t="n">
        <x:v>1443</x:v>
      </x:c>
      <x:c r="F7" s="13" t="str">
        <x:v>Ravitaillement possible à chaque escale majeure</x:v>
      </x:c>
      <x:c r="G7" s="13" t="str">
        <x:v>Aucun fût nécessaire</x:v>
      </x:c>
    </x:row>
    <x:row r="9">
      <x:c r="A9" s="24" t="str">
        <x:v>Les fûts sont du fret de réserve destiné au ravitaillement au sol : ils ne doivent pas être comptés comme carburant utilisable en vol. Dans X-Plane, simuler le transfert uniquement après l’atterrissage.</x:v>
      </x:c>
      <x:c r="B9" s="24"/>
      <x:c r="C9" s="24"/>
      <x:c r="D9" s="24"/>
      <x:c r="E9" s="24"/>
      <x:c r="F9" s="24"/>
      <x:c r="G9" s="24"/>
    </x:row>
    <x:row r="11">
      <x:c r="A11" s="27" t="str">
        <x:v>Repères conseillés : plein à PAAQ, PANN, PAFA, PABT, PASC, PABR et PAOT; puis ravitaillement à chaque escale disponible jusqu’au retour à Palmer.</x:v>
      </x:c>
      <x:c r="B11" s="27"/>
      <x:c r="C11" s="27"/>
      <x:c r="D11" s="27"/>
      <x:c r="E11" s="27"/>
      <x:c r="F11" s="27"/>
      <x:c r="G11" s="27"/>
    </x:row>
  </x:sheetData>
  <x:mergeCells>
    <x:mergeCell ref="A1:G1"/>
    <x:mergeCell ref="A9:G9"/>
    <x:mergeCell ref="A11:G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13" hidden="0" customWidth="1"/>
    <x:col min="4" max="4" width="13" hidden="0" customWidth="1"/>
    <x:col min="5" max="5" width="50" hidden="0" customWidth="1"/>
    <x:col min="6" max="6" width="22" hidden="0" customWidth="1"/>
    <x:col min="7" max="7" width="45" hidden="0" customWidth="1"/>
    <x:col min="8" max="8" width="31" hidden="0" customWidth="1"/>
  </x:cols>
  <x:sheetData>
    <x:row r="1" ht="30" customHeight="1">
      <x:c r="A1" s="3" t="str">
        <x:v>Aérodromes de la boucle — pistes et carburant publiés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6" t="str">
        <x:v>OACI</x:v>
      </x:c>
      <x:c r="B3" s="6" t="str">
        <x:v>Aérodrome</x:v>
      </x:c>
      <x:c r="C3" s="6" t="str">
        <x:v>Latitude</x:v>
      </x:c>
      <x:c r="D3" s="6" t="str">
        <x:v>Longitude</x:v>
      </x:c>
      <x:c r="E3" s="6" t="str">
        <x:v>Pistes</x:v>
      </x:c>
      <x:c r="F3" s="6" t="str">
        <x:v>Carburant publié</x:v>
      </x:c>
      <x:c r="G3" s="6" t="str">
        <x:v>Difficulté</x:v>
      </x:c>
      <x:c r="H3" s="6" t="str">
        <x:v>Source</x:v>
      </x:c>
    </x:row>
    <x:row r="4">
      <x:c r="A4" s="12" t="str">
        <x:v>PAAQ</x:v>
      </x:c>
      <x:c r="B4" s="12" t="str">
        <x:v>Palmer Municipal</x:v>
      </x:c>
      <x:c r="C4" s="12" t="n">
        <x:v>61.5949</x:v>
      </x:c>
      <x:c r="D4" s="12" t="n">
        <x:v>-149.0887</x:v>
      </x:c>
      <x:c r="E4" s="12" t="str">
        <x:v>16/34 – 6 006 ft asphalt; 10/28 – 3 616 ft asphalt</x:v>
      </x:c>
      <x:c r="F4" s="12" t="str">
        <x:v>100LL H24</x:v>
      </x:c>
      <x:c r="G4" s="12" t="str">
        <x:v>Hub Desert Air choisi</x:v>
      </x:c>
      <x:c r="H4" s="12" t="str">
        <x:v>FAA Chart Supplement Alaska 03/09/2026</x:v>
      </x:c>
    </x:row>
    <x:row r="5">
      <x:c r="A5" s="12" t="str">
        <x:v>PAST</x:v>
      </x:c>
      <x:c r="B5" s="12" t="str">
        <x:v>Summit</x:v>
      </x:c>
      <x:c r="C5" s="12" t="n">
        <x:v>63.331</x:v>
      </x:c>
      <x:c r="D5" s="12" t="n">
        <x:v>-149.1288</x:v>
      </x:c>
      <x:c r="E5" s="12" t="str">
        <x:v>03/21 – 3 814 ft gravier</x:v>
      </x:c>
      <x:c r="F5" s="12" t="str">
        <x:v>Non publié</x:v>
      </x:c>
      <x:c r="G5" s="12" t="str">
        <x:v>Col montagneux, piste sans surveillance, vents traversiers</x:v>
      </x:c>
      <x:c r="H5" s="12" t="str">
        <x:v>FAA Chart Supplement Alaska 03/09/2026</x:v>
      </x:c>
    </x:row>
    <x:row r="6">
      <x:c r="A6" s="12" t="str">
        <x:v>PANN</x:v>
      </x:c>
      <x:c r="B6" s="12" t="str">
        <x:v>Nenana Municipal</x:v>
      </x:c>
      <x:c r="C6" s="12" t="n">
        <x:v>64.5473</x:v>
      </x:c>
      <x:c r="D6" s="12" t="n">
        <x:v>-149.074</x:v>
      </x:c>
      <x:c r="E6" s="12" t="str">
        <x:v>04L/22R – 4 600 ft asphalt; 04R/22L – 1 980 ft gazon</x:v>
      </x:c>
      <x:c r="F6" s="12" t="str">
        <x:v>100LL H24</x:v>
      </x:c>
      <x:c r="G6" s="12" t="str">
        <x:v>Gel et entretien hivernal limité</x:v>
      </x:c>
      <x:c r="H6" s="12" t="str">
        <x:v>FAA Chart Supplement Alaska 03/09/2026</x:v>
      </x:c>
    </x:row>
    <x:row r="7">
      <x:c r="A7" s="12" t="str">
        <x:v>PAFA</x:v>
      </x:c>
      <x:c r="B7" s="12" t="str">
        <x:v>Fairbanks International</x:v>
      </x:c>
      <x:c r="C7" s="12" t="n">
        <x:v>64.8153</x:v>
      </x:c>
      <x:c r="D7" s="12" t="n">
        <x:v>-147.8567</x:v>
      </x:c>
      <x:c r="E7" s="12" t="str">
        <x:v>02L/20R – 11 800 ft asphalt; 02R/20L – 4 510 ft asphalt</x:v>
      </x:c>
      <x:c r="F7" s="12" t="str">
        <x:v>100LL</x:v>
      </x:c>
      <x:c r="G7" s="12" t="str">
        <x:v>Froid extrême et brouillard de glace</x:v>
      </x:c>
      <x:c r="H7" s="12" t="str">
        <x:v>FAA Chart Supplement Alaska 03/09/2026</x:v>
      </x:c>
    </x:row>
    <x:row r="8">
      <x:c r="A8" s="12" t="str">
        <x:v>PABT</x:v>
      </x:c>
      <x:c r="B8" s="12" t="str">
        <x:v>Bettles</x:v>
      </x:c>
      <x:c r="C8" s="12" t="n">
        <x:v>66.914</x:v>
      </x:c>
      <x:c r="D8" s="12" t="n">
        <x:v>-151.529</x:v>
      </x:c>
      <x:c r="E8" s="12" t="str">
        <x:v>02/20 – 5 190 ft gravier</x:v>
      </x:c>
      <x:c r="F8" s="12" t="str">
        <x:v>100LL</x:v>
      </x:c>
      <x:c r="G8" s="12" t="str">
        <x:v>Terrain isolé; inspection visuelle recommandée</x:v>
      </x:c>
      <x:c r="H8" s="12" t="str">
        <x:v>FAA Chart Supplement Alaska 03/09/2026</x:v>
      </x:c>
    </x:row>
    <x:row r="9">
      <x:c r="A9" s="12" t="str">
        <x:v>PACX</x:v>
      </x:c>
      <x:c r="B9" s="12" t="str">
        <x:v>Coldfoot</x:v>
      </x:c>
      <x:c r="C9" s="12" t="n">
        <x:v>67.2522</x:v>
      </x:c>
      <x:c r="D9" s="12" t="n">
        <x:v>-150.2038</x:v>
      </x:c>
      <x:c r="E9" s="12" t="str">
        <x:v>02/20 – 4 011 ft gravier</x:v>
      </x:c>
      <x:c r="F9" s="12" t="str">
        <x:v>Non publié</x:v>
      </x:c>
      <x:c r="G9" s="12" t="str">
        <x:v>Piste non surveillée dans la vallée de la Koyukuk</x:v>
      </x:c>
      <x:c r="H9" s="12" t="str">
        <x:v>FAA Chart Supplement Alaska 03/09/2026</x:v>
      </x:c>
    </x:row>
    <x:row r="10">
      <x:c r="A10" s="12" t="str">
        <x:v>PAKP</x:v>
      </x:c>
      <x:c r="B10" s="12" t="str">
        <x:v>Anaktuvuk Pass</x:v>
      </x:c>
      <x:c r="C10" s="12" t="n">
        <x:v>68.1337</x:v>
      </x:c>
      <x:c r="D10" s="12" t="n">
        <x:v>-151.7433</x:v>
      </x:c>
      <x:c r="E10" s="12" t="str">
        <x:v>02/20 – 4 800 ft gravier</x:v>
      </x:c>
      <x:c r="F10" s="12" t="str">
        <x:v>Non publié</x:v>
      </x:c>
      <x:c r="G10" s="12" t="str">
        <x:v>Col encaissé de la Brooks Range; turbulence et plafond bas</x:v>
      </x:c>
      <x:c r="H10" s="12" t="str">
        <x:v>FAA Chart Supplement Alaska 03/09/2026</x:v>
      </x:c>
    </x:row>
    <x:row r="11">
      <x:c r="A11" s="12" t="str">
        <x:v>PAUM</x:v>
      </x:c>
      <x:c r="B11" s="12" t="str">
        <x:v>Umiat</x:v>
      </x:c>
      <x:c r="C11" s="12" t="n">
        <x:v>69.3712</x:v>
      </x:c>
      <x:c r="D11" s="12" t="n">
        <x:v>-152.135</x:v>
      </x:c>
      <x:c r="E11" s="12" t="str">
        <x:v>06/24 – 5 583 ft gravier/terre</x:v>
      </x:c>
      <x:c r="F11" s="12" t="str">
        <x:v>Non publié</x:v>
      </x:c>
      <x:c r="G11" s="12" t="str">
        <x:v>Ornières, végétation, animaux et crêtes au nord et au sud</x:v>
      </x:c>
      <x:c r="H11" s="12" t="str">
        <x:v>FAA Chart Supplement Alaska 03/09/2026</x:v>
      </x:c>
    </x:row>
    <x:row r="12">
      <x:c r="A12" s="12" t="str">
        <x:v>PASC</x:v>
      </x:c>
      <x:c r="B12" s="12" t="str">
        <x:v>Deadhorse</x:v>
      </x:c>
      <x:c r="C12" s="12" t="n">
        <x:v>70.1948</x:v>
      </x:c>
      <x:c r="D12" s="12" t="n">
        <x:v>-148.4652</x:v>
      </x:c>
      <x:c r="E12" s="12" t="str">
        <x:v>06/24 – 6 500 ft asphalt</x:v>
      </x:c>
      <x:c r="F12" s="12" t="str">
        <x:v>Avgas 100</x:v>
      </x:c>
      <x:c r="G12" s="12" t="str">
        <x:v>Vent arctique, neige, caribous et horaires carburant</x:v>
      </x:c>
      <x:c r="H12" s="12" t="str">
        <x:v>FAA Chart Supplement Alaska 03/09/2026</x:v>
      </x:c>
    </x:row>
    <x:row r="13">
      <x:c r="A13" s="12" t="str">
        <x:v>PABR</x:v>
      </x:c>
      <x:c r="B13" s="12" t="str">
        <x:v>Utqiaġvik — Wiley Post/Will Rogers</x:v>
      </x:c>
      <x:c r="C13" s="12" t="n">
        <x:v>71.2848</x:v>
      </x:c>
      <x:c r="D13" s="12" t="n">
        <x:v>-156.7687</x:v>
      </x:c>
      <x:c r="E13" s="12" t="str">
        <x:v>08/26 – 7 100 ft asphalt</x:v>
      </x:c>
      <x:c r="F13" s="12" t="str">
        <x:v>100LL</x:v>
      </x:c>
      <x:c r="G13" s="12" t="str">
        <x:v>Point le plus septentrional; météo polaire et brouillard</x:v>
      </x:c>
      <x:c r="H13" s="12" t="str">
        <x:v>FAA Chart Supplement Alaska 03/09/2026</x:v>
      </x:c>
    </x:row>
    <x:row r="14">
      <x:c r="A14" s="12" t="str">
        <x:v>PPIZ</x:v>
      </x:c>
      <x:c r="B14" s="12" t="str">
        <x:v>Point Lay LRRS</x:v>
      </x:c>
      <x:c r="C14" s="12" t="n">
        <x:v>69.7328</x:v>
      </x:c>
      <x:c r="D14" s="12" t="n">
        <x:v>-163.0053</x:v>
      </x:c>
      <x:c r="E14" s="12" t="str">
        <x:v>06/24 – 4 500 ft gravier</x:v>
      </x:c>
      <x:c r="F14" s="12" t="str">
        <x:v>Non publié</x:v>
      </x:c>
      <x:c r="G14" s="12" t="str">
        <x:v>Terrain froid isolé, route près du seuil</x:v>
      </x:c>
      <x:c r="H14" s="12" t="str">
        <x:v>FAA Chart Supplement Alaska 03/09/2026</x:v>
      </x:c>
    </x:row>
    <x:row r="15">
      <x:c r="A15" s="12" t="str">
        <x:v>PAPO</x:v>
      </x:c>
      <x:c r="B15" s="12" t="str">
        <x:v>Point Hope</x:v>
      </x:c>
      <x:c r="C15" s="12" t="n">
        <x:v>68.3482</x:v>
      </x:c>
      <x:c r="D15" s="12" t="n">
        <x:v>-166.7992</x:v>
      </x:c>
      <x:c r="E15" s="12" t="str">
        <x:v>03/21 – 4 000 ft asphalt</x:v>
      </x:c>
      <x:c r="F15" s="12" t="str">
        <x:v>Urgence seulement</x:v>
      </x:c>
      <x:c r="G15" s="12" t="str">
        <x:v>Vent côtier; fissures transversales sur la piste</x:v>
      </x:c>
      <x:c r="H15" s="12" t="str">
        <x:v>FAA Chart Supplement Alaska 03/09/2026</x:v>
      </x:c>
    </x:row>
    <x:row r="16">
      <x:c r="A16" s="12" t="str">
        <x:v>PAOT</x:v>
      </x:c>
      <x:c r="B16" s="12" t="str">
        <x:v>Kotzebue — Ralph Wien Memorial</x:v>
      </x:c>
      <x:c r="C16" s="12" t="n">
        <x:v>66.8848</x:v>
      </x:c>
      <x:c r="D16" s="12" t="n">
        <x:v>-162.5982</x:v>
      </x:c>
      <x:c r="E16" s="12" t="str">
        <x:v>09/27 – 6 300 ft asphalt; 18/36 – 3 876 ft gravier</x:v>
      </x:c>
      <x:c r="F16" s="12" t="str">
        <x:v>Avgas 100</x:v>
      </x:c>
      <x:c r="G16" s="12" t="str">
        <x:v>Au-delà du cercle arctique; surfaces irrégulières</x:v>
      </x:c>
      <x:c r="H16" s="12" t="str">
        <x:v>FAA Chart Supplement Alaska 03/09/2026</x:v>
      </x:c>
    </x:row>
    <x:row r="17">
      <x:c r="A17" s="12" t="str">
        <x:v>PAOM</x:v>
      </x:c>
      <x:c r="B17" s="12" t="str">
        <x:v>Nome</x:v>
      </x:c>
      <x:c r="C17" s="12" t="n">
        <x:v>64.5125</x:v>
      </x:c>
      <x:c r="D17" s="12" t="n">
        <x:v>-165.4443</x:v>
      </x:c>
      <x:c r="E17" s="12" t="str">
        <x:v>03/21 – 6 176 ft asphalt; 10/28 – 6 009 ft asphalt</x:v>
      </x:c>
      <x:c r="F17" s="12" t="str">
        <x:v>100LL</x:v>
      </x:c>
      <x:c r="G17" s="12" t="str">
        <x:v>Vent, neige et visibilité rapidement changeante</x:v>
      </x:c>
      <x:c r="H17" s="12" t="str">
        <x:v>FAA Chart Supplement Alaska 03/09/2026</x:v>
      </x:c>
    </x:row>
    <x:row r="18">
      <x:c r="A18" s="12" t="str">
        <x:v>PAUN</x:v>
      </x:c>
      <x:c r="B18" s="12" t="str">
        <x:v>Unalakleet</x:v>
      </x:c>
      <x:c r="C18" s="12" t="n">
        <x:v>63.8885</x:v>
      </x:c>
      <x:c r="D18" s="12" t="n">
        <x:v>-160.7992</x:v>
      </x:c>
      <x:c r="E18" s="12" t="str">
        <x:v>15/33 – 5 900 ft asphalt; 09/27 – 1 900 ft asphalt</x:v>
      </x:c>
      <x:c r="F18" s="12" t="str">
        <x:v>100LL</x:v>
      </x:c>
      <x:c r="G18" s="12" t="str">
        <x:v>Vent et givrage de la mer de Béring</x:v>
      </x:c>
      <x:c r="H18" s="12" t="str">
        <x:v>FAA Chart Supplement Alaska 03/09/2026</x:v>
      </x:c>
    </x:row>
    <x:row r="19">
      <x:c r="A19" s="12" t="str">
        <x:v>PABE</x:v>
      </x:c>
      <x:c r="B19" s="12" t="str">
        <x:v>Bethel</x:v>
      </x:c>
      <x:c r="C19" s="12" t="n">
        <x:v>60.7785</x:v>
      </x:c>
      <x:c r="D19" s="12" t="n">
        <x:v>-161.8372</x:v>
      </x:c>
      <x:c r="E19" s="12" t="str">
        <x:v>01L/19R – 6 400 ft asphalt; 01R/19L – 4 000 ft asphalt</x:v>
      </x:c>
      <x:c r="F19" s="12" t="str">
        <x:v>100/100LL</x:v>
      </x:c>
      <x:c r="G19" s="12" t="str">
        <x:v>Brouillard côtier, vent et oiseaux</x:v>
      </x:c>
      <x:c r="H19" s="12" t="str">
        <x:v>FAA Chart Supplement Alaska 03/09/2026</x:v>
      </x:c>
    </x:row>
    <x:row r="20">
      <x:c r="A20" s="12" t="str">
        <x:v>PADL</x:v>
      </x:c>
      <x:c r="B20" s="12" t="str">
        <x:v>Dillingham</x:v>
      </x:c>
      <x:c r="C20" s="12" t="n">
        <x:v>59.0447</x:v>
      </x:c>
      <x:c r="D20" s="12" t="n">
        <x:v>-158.5055</x:v>
      </x:c>
      <x:c r="E20" s="12" t="str">
        <x:v>01/19 – 6 400 ft asphalt</x:v>
      </x:c>
      <x:c r="F20" s="12" t="str">
        <x:v>100LL</x:v>
      </x:c>
      <x:c r="G20" s="12" t="str">
        <x:v>Météo de la baie de Bristol</x:v>
      </x:c>
      <x:c r="H20" s="12" t="str">
        <x:v>FAA Chart Supplement Alaska 03/09/2026</x:v>
      </x:c>
    </x:row>
    <x:row r="21">
      <x:c r="A21" s="12" t="str">
        <x:v>PAKN</x:v>
      </x:c>
      <x:c r="B21" s="12" t="str">
        <x:v>King Salmon</x:v>
      </x:c>
      <x:c r="C21" s="12" t="n">
        <x:v>58.6765</x:v>
      </x:c>
      <x:c r="D21" s="12" t="n">
        <x:v>-156.6487</x:v>
      </x:c>
      <x:c r="E21" s="12" t="str">
        <x:v>12/30 – 8 900 ft asphalt; 18/36 – 4 017 ft asphalt</x:v>
      </x:c>
      <x:c r="F21" s="12" t="str">
        <x:v>100LL</x:v>
      </x:c>
      <x:c r="G21" s="12" t="str">
        <x:v>Vents de travers et grands oiseaux</x:v>
      </x:c>
      <x:c r="H21" s="12" t="str">
        <x:v>FAA Chart Supplement Alaska 03/09/2026</x:v>
      </x:c>
    </x:row>
    <x:row r="22">
      <x:c r="A22" s="12" t="str">
        <x:v>PADQ</x:v>
      </x:c>
      <x:c r="B22" s="12" t="str">
        <x:v>Kodiak</x:v>
      </x:c>
      <x:c r="C22" s="12" t="n">
        <x:v>57.7498</x:v>
      </x:c>
      <x:c r="D22" s="12" t="n">
        <x:v>-152.494</x:v>
      </x:c>
      <x:c r="E22" s="12" t="str">
        <x:v>08/26 – 7 534 ft; 11/29 – 5 400 ft; 01/19 – 5 010 ft asphalt</x:v>
      </x:c>
      <x:c r="F22" s="12" t="str">
        <x:v>100LL</x:v>
      </x:c>
      <x:c r="G22" s="12" t="str">
        <x:v>Relief montagneux serré, plafond bas et vents</x:v>
      </x:c>
      <x:c r="H22" s="12" t="str">
        <x:v>FAA Chart Supplement Alaska 03/09/2026</x:v>
      </x:c>
    </x:row>
    <x:row r="23">
      <x:c r="A23" s="13" t="str">
        <x:v>PAHO</x:v>
      </x:c>
      <x:c r="B23" s="13" t="str">
        <x:v>Homer</x:v>
      </x:c>
      <x:c r="C23" s="13" t="n">
        <x:v>59.6455</x:v>
      </x:c>
      <x:c r="D23" s="13" t="n">
        <x:v>-151.4767</x:v>
      </x:c>
      <x:c r="E23" s="13" t="str">
        <x:v>04/22 – 6 701 ft asphalt</x:v>
      </x:c>
      <x:c r="F23" s="13" t="str">
        <x:v>100LL</x:v>
      </x:c>
      <x:c r="G23" s="13" t="str">
        <x:v>Cook Inlet, relief et oiseaux</x:v>
      </x:c>
      <x:c r="H23" s="13" t="str">
        <x:v>FAA Chart Supplement Alaska 03/09/2026</x:v>
      </x:c>
    </x:row>
    <x:row r="25">
      <x:c r="A25" t="str">
        <x:v>Usage simulation. Pour un vol réel : vérifier NOTAM, état des pistes, horaires et disponibilité effective du carburant.</x:v>
      </x:c>
    </x:row>
  </x:sheetData>
  <x:mergeCells>
    <x:mergeCell ref="A1:H1"/>
    <x:mergeCell ref="A25:H25"/>
  </x:mergeCells>
  <x:pageMargins left="0.7" right="0.7" top="0.75" bottom="0.75" header="0.3" footer="0.3"/>
</x:worksheet>
</file>